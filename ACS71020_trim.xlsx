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pressif\Projects\Irrigation\"/>
    </mc:Choice>
  </mc:AlternateContent>
  <xr:revisionPtr revIDLastSave="0" documentId="13_ncr:1_{37F42D1B-4274-4CC4-AFE7-99E0EDCB1066}" xr6:coauthVersionLast="47" xr6:coauthVersionMax="47" xr10:uidLastSave="{00000000-0000-0000-0000-000000000000}"/>
  <bookViews>
    <workbookView xWindow="1464" yWindow="2292" windowWidth="17280" windowHeight="8880" xr2:uid="{EE85C22D-FA25-4F06-AFE6-963A97BD966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G5" i="1"/>
  <c r="I5" i="1" s="1"/>
  <c r="F5" i="1"/>
  <c r="H5" i="1" s="1"/>
  <c r="E5" i="1"/>
  <c r="A12" i="1"/>
  <c r="N4" i="1"/>
  <c r="M4" i="1"/>
  <c r="K3" i="1"/>
  <c r="J3" i="1"/>
  <c r="I2" i="1"/>
  <c r="G2" i="1"/>
  <c r="F2" i="1"/>
  <c r="H2" i="1" s="1"/>
  <c r="E3" i="1"/>
  <c r="E2" i="1"/>
</calcChain>
</file>

<file path=xl/sharedStrings.xml><?xml version="1.0" encoding="utf-8"?>
<sst xmlns="http://schemas.openxmlformats.org/spreadsheetml/2006/main" count="15" uniqueCount="15">
  <si>
    <t>SNS</t>
  </si>
  <si>
    <t>QVO</t>
  </si>
  <si>
    <t>CRS</t>
  </si>
  <si>
    <t>offset [A]</t>
  </si>
  <si>
    <t>offset [LSB]</t>
  </si>
  <si>
    <t>multiplier</t>
  </si>
  <si>
    <t>V</t>
  </si>
  <si>
    <t>mA</t>
  </si>
  <si>
    <t>W</t>
  </si>
  <si>
    <t>pacc_trim</t>
  </si>
  <si>
    <t>Valve:</t>
  </si>
  <si>
    <t xml:space="preserve">step </t>
  </si>
  <si>
    <t>ichan-del_en</t>
  </si>
  <si>
    <t>del_sel</t>
  </si>
  <si>
    <t>voltage_delay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</si>
</sst>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E181-ED98-4A43-A27C-1A3F94D64117}">
  <dimension ref="A1:N12"/>
  <sheetViews>
    <sheetView tabSelected="1" workbookViewId="0">
      <selection activeCell="E7" sqref="E7"/>
    </sheetView>
  </sheetViews>
  <sheetFormatPr defaultRowHeight="14.4" x14ac:dyDescent="0.3"/>
  <cols>
    <col min="5" max="6" width="12" bestFit="1" customWidth="1"/>
    <col min="7" max="7" width="12" customWidth="1"/>
    <col min="8" max="8" width="12" bestFit="1" customWidth="1"/>
  </cols>
  <sheetData>
    <row r="1" spans="1:14" x14ac:dyDescent="0.3">
      <c r="A1">
        <v>30</v>
      </c>
      <c r="B1">
        <v>1</v>
      </c>
      <c r="C1">
        <v>2</v>
      </c>
      <c r="E1" t="s">
        <v>11</v>
      </c>
      <c r="F1" t="s">
        <v>4</v>
      </c>
      <c r="H1" t="s">
        <v>3</v>
      </c>
      <c r="J1" t="s">
        <v>5</v>
      </c>
    </row>
    <row r="2" spans="1:14" x14ac:dyDescent="0.3">
      <c r="A2" t="s">
        <v>1</v>
      </c>
      <c r="B2">
        <v>12</v>
      </c>
      <c r="C2">
        <v>18</v>
      </c>
      <c r="E2">
        <f>1/POWER(2,15)</f>
        <v>3.0517578125E-5</v>
      </c>
      <c r="F2">
        <f>B2*$E$2</f>
        <v>3.662109375E-4</v>
      </c>
      <c r="G2">
        <f>C2*$E$2</f>
        <v>5.4931640625E-4</v>
      </c>
      <c r="H2">
        <f>$A$1*F2</f>
        <v>1.0986328125E-2</v>
      </c>
      <c r="I2">
        <f>$A$1*G2</f>
        <v>1.64794921875E-2</v>
      </c>
    </row>
    <row r="3" spans="1:14" x14ac:dyDescent="0.3">
      <c r="A3" t="s">
        <v>0</v>
      </c>
      <c r="B3">
        <v>75</v>
      </c>
      <c r="C3">
        <v>43</v>
      </c>
      <c r="E3">
        <f>0.5/255</f>
        <v>1.9607843137254902E-3</v>
      </c>
      <c r="J3">
        <f>1+$E$3*B3</f>
        <v>1.1470588235294117</v>
      </c>
      <c r="K3">
        <f>1+$E$3*C3</f>
        <v>1.084313725490196</v>
      </c>
    </row>
    <row r="4" spans="1:14" x14ac:dyDescent="0.3">
      <c r="A4" t="s">
        <v>2</v>
      </c>
      <c r="B4">
        <v>2</v>
      </c>
      <c r="C4">
        <v>2</v>
      </c>
      <c r="D4">
        <v>3</v>
      </c>
      <c r="M4">
        <f>$D$4*J3</f>
        <v>3.4411764705882351</v>
      </c>
      <c r="N4">
        <f>$D$4*K3</f>
        <v>3.2529411764705882</v>
      </c>
    </row>
    <row r="5" spans="1:14" x14ac:dyDescent="0.3">
      <c r="A5" t="s">
        <v>9</v>
      </c>
      <c r="B5">
        <v>0</v>
      </c>
      <c r="C5">
        <v>0</v>
      </c>
      <c r="E5">
        <f>1/POWER(2,15)</f>
        <v>3.0517578125E-5</v>
      </c>
      <c r="F5">
        <f>B5*6</f>
        <v>0</v>
      </c>
      <c r="G5">
        <f>C5*6</f>
        <v>0</v>
      </c>
      <c r="H5">
        <f>F5*$E$5*230*$A$1</f>
        <v>0</v>
      </c>
      <c r="I5">
        <f>G5*$E$5*230*$A$1</f>
        <v>0</v>
      </c>
    </row>
    <row r="6" spans="1:14" x14ac:dyDescent="0.3">
      <c r="A6" t="s">
        <v>12</v>
      </c>
      <c r="B6">
        <v>0</v>
      </c>
      <c r="C6">
        <v>0</v>
      </c>
      <c r="E6" t="s">
        <v>14</v>
      </c>
    </row>
    <row r="7" spans="1:14" x14ac:dyDescent="0.3">
      <c r="A7" t="s">
        <v>13</v>
      </c>
      <c r="B7">
        <v>0</v>
      </c>
      <c r="C7">
        <v>0</v>
      </c>
      <c r="E7">
        <f>1/32000</f>
        <v>3.1250000000000001E-5</v>
      </c>
    </row>
    <row r="9" spans="1:14" x14ac:dyDescent="0.3">
      <c r="A9" t="s">
        <v>10</v>
      </c>
    </row>
    <row r="10" spans="1:14" x14ac:dyDescent="0.3">
      <c r="A10">
        <v>24</v>
      </c>
      <c r="B10" t="s">
        <v>6</v>
      </c>
    </row>
    <row r="11" spans="1:14" x14ac:dyDescent="0.3">
      <c r="A11">
        <v>230</v>
      </c>
      <c r="B11" t="s">
        <v>7</v>
      </c>
    </row>
    <row r="12" spans="1:14" x14ac:dyDescent="0.3">
      <c r="A12">
        <f>A10*A11/1000</f>
        <v>5.52</v>
      </c>
      <c r="B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Kiss, Szabolcs</dc:creator>
  <cp:lastModifiedBy>Kiss, Szabolcs</cp:lastModifiedBy>
  <dcterms:created xsi:type="dcterms:W3CDTF">2025-09-19T13:17:01Z</dcterms:created>
  <dcterms:modified xsi:type="dcterms:W3CDTF">2025-09-19T14:02:01Z</dcterms:modified>
</cp:coreProperties>
</file>